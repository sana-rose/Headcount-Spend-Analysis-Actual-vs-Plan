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<sst xmlns="http://schemas.openxmlformats.org/spreadsheetml/2006/main" count="93" uniqueCount="33">
  <si>
    <t xml:space="preserve">Summary: Actual vs Plan by Department</t>
  </si>
  <si>
    <t xml:space="preserve">Reporting month</t>
  </si>
  <si>
    <t xml:space="preserve">Department</t>
  </si>
  <si>
    <t xml:space="preserve">Planned Headcount</t>
  </si>
  <si>
    <t xml:space="preserve">Actual Headcount</t>
  </si>
  <si>
    <t xml:space="preserve">Headcount Variance</t>
  </si>
  <si>
    <t xml:space="preserve">Headcount Variance %</t>
  </si>
  <si>
    <t xml:space="preserve">FY Planned Spend (Rs lakh)</t>
  </si>
  <si>
    <t xml:space="preserve">FY Actual Spend (Rs lakh)</t>
  </si>
  <si>
    <t xml:space="preserve">Spend Variance (Rs lakh)</t>
  </si>
  <si>
    <t xml:space="preserve">Spend Variance %</t>
  </si>
  <si>
    <t xml:space="preserve">Engineering</t>
  </si>
  <si>
    <t xml:space="preserve">Finance</t>
  </si>
  <si>
    <t xml:space="preserve">Operations</t>
  </si>
  <si>
    <t xml:space="preserve">Product</t>
  </si>
  <si>
    <t xml:space="preserve">Total</t>
  </si>
  <si>
    <t xml:space="preserve">Spend totals cover the full fiscal year; headcount shows the reporting month selected in B3. Simulated sample data.</t>
  </si>
  <si>
    <t xml:space="preserve">Sample Data: Actual vs Plan Headcount &amp; Spend (FY Apr 2025 - Mar 2026)</t>
  </si>
  <si>
    <t xml:space="preserve">IMPORTANT: All figures are SIMULATED sample data created for a portfolio project. They do not come from any real company.</t>
  </si>
  <si>
    <t xml:space="preserve">Unit for spend: Rs lakh per month. Fiscal year runs April 2025 to March 2026.</t>
  </si>
  <si>
    <t xml:space="preserve">Planned Headcount = prior month Planned Headcount + Planned Hires.</t>
  </si>
  <si>
    <t xml:space="preserve">Actual Headcount = prior month Actual Headcount + Actual Hires - Attrition.</t>
  </si>
  <si>
    <t xml:space="preserve">Variance = Actual - Plan. Variance % = Variance / Plan.</t>
  </si>
  <si>
    <t xml:space="preserve">Blue font = input value you can edit. Black font = formula. Green font = link to another sheet.</t>
  </si>
  <si>
    <t xml:space="preserve">Planned spend was built as (planned headcount x cost per head) + other operating expense; actual spend was simulated around it.</t>
  </si>
  <si>
    <t xml:space="preserve">Opening headcount (31 Mar 2025)</t>
  </si>
  <si>
    <t xml:space="preserve">Opening Headcount</t>
  </si>
  <si>
    <t xml:space="preserve">Month</t>
  </si>
  <si>
    <t xml:space="preserve">Planned Hires</t>
  </si>
  <si>
    <t xml:space="preserve">Actual Hires</t>
  </si>
  <si>
    <t xml:space="preserve">Attrition</t>
  </si>
  <si>
    <t xml:space="preserve">Planned Spend (Rs lakh)</t>
  </si>
  <si>
    <t xml:space="preserve">Actual Spend (Rs lakh)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</si>
</sst>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-yy"/>
    <numFmt numFmtId="166" formatCode="#,##0;\(#,##0\);\-"/>
    <numFmt numFmtId="167" formatCode="0.0%;\(0.0%\);\-"/>
    <numFmt numFmtId="168" formatCode="#,##0.0;\(#,##0.0\);\-"/>
    <numFmt numFmtId="169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8" min="6" style="0" width="2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46082</v>
      </c>
    </row>
    <row r="5" customFormat="false" ht="31.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customFormat="false" ht="15" hidden="false" customHeight="false" outlineLevel="0" collapsed="false">
      <c r="A6" s="5" t="s">
        <v>11</v>
      </c>
      <c r="B6" s="6" t="n">
        <f aca="false">SUMIFS(Data!$F$2:$F$49,Data!$B$2:$B$49,$A6,Data!$A$2:$A$49,$B$3)</f>
        <v>96</v>
      </c>
      <c r="C6" s="6" t="n">
        <f aca="false">SUMIFS(Data!$G$2:$G$49,Data!$B$2:$B$49,$A6,Data!$A$2:$A$49,$B$3)</f>
        <v>82</v>
      </c>
      <c r="D6" s="7" t="n">
        <f aca="false">C6-B6</f>
        <v>-14</v>
      </c>
      <c r="E6" s="8" t="n">
        <f aca="false">IF(B6=0,0,D6/B6)</f>
        <v>-0.145833333333333</v>
      </c>
      <c r="F6" s="9" t="n">
        <f aca="false">SUMIFS(Data!$J$2:$J$49,Data!$B$2:$B$49,$A6)</f>
        <v>2458.8</v>
      </c>
      <c r="G6" s="9" t="n">
        <f aca="false">SUMIFS(Data!$K$2:$K$49,Data!$B$2:$B$49,$A6)</f>
        <v>2176.5</v>
      </c>
      <c r="H6" s="10" t="n">
        <f aca="false">G6-F6</f>
        <v>-282.3</v>
      </c>
      <c r="I6" s="8" t="n">
        <f aca="false">IF(F6=0,0,H6/F6)</f>
        <v>-0.114812103465105</v>
      </c>
    </row>
    <row r="7" customFormat="false" ht="15" hidden="false" customHeight="false" outlineLevel="0" collapsed="false">
      <c r="A7" s="5" t="s">
        <v>12</v>
      </c>
      <c r="B7" s="6" t="n">
        <f aca="false">SUMIFS(Data!$F$2:$F$49,Data!$B$2:$B$49,$A7,Data!$A$2:$A$49,$B$3)</f>
        <v>24</v>
      </c>
      <c r="C7" s="6" t="n">
        <f aca="false">SUMIFS(Data!$G$2:$G$49,Data!$B$2:$B$49,$A7,Data!$A$2:$A$49,$B$3)</f>
        <v>23</v>
      </c>
      <c r="D7" s="7" t="n">
        <f aca="false">C7-B7</f>
        <v>-1</v>
      </c>
      <c r="E7" s="8" t="n">
        <f aca="false">IF(B7=0,0,D7/B7)</f>
        <v>-0.0416666666666667</v>
      </c>
      <c r="F7" s="9" t="n">
        <f aca="false">SUMIFS(Data!$J$2:$J$49,Data!$B$2:$B$49,$A7)</f>
        <v>582</v>
      </c>
      <c r="G7" s="9" t="n">
        <f aca="false">SUMIFS(Data!$K$2:$K$49,Data!$B$2:$B$49,$A7)</f>
        <v>565.7</v>
      </c>
      <c r="H7" s="10" t="n">
        <f aca="false">G7-F7</f>
        <v>-16.3</v>
      </c>
      <c r="I7" s="8" t="n">
        <f aca="false">IF(F7=0,0,H7/F7)</f>
        <v>-0.0280068728522336</v>
      </c>
    </row>
    <row r="8" customFormat="false" ht="15" hidden="false" customHeight="false" outlineLevel="0" collapsed="false">
      <c r="A8" s="5" t="s">
        <v>13</v>
      </c>
      <c r="B8" s="6" t="n">
        <f aca="false">SUMIFS(Data!$F$2:$F$49,Data!$B$2:$B$49,$A8,Data!$A$2:$A$49,$B$3)</f>
        <v>60</v>
      </c>
      <c r="C8" s="6" t="n">
        <f aca="false">SUMIFS(Data!$G$2:$G$49,Data!$B$2:$B$49,$A8,Data!$A$2:$A$49,$B$3)</f>
        <v>58</v>
      </c>
      <c r="D8" s="7" t="n">
        <f aca="false">C8-B8</f>
        <v>-2</v>
      </c>
      <c r="E8" s="8" t="n">
        <f aca="false">IF(B8=0,0,D8/B8)</f>
        <v>-0.0333333333333333</v>
      </c>
      <c r="F8" s="9" t="n">
        <f aca="false">SUMIFS(Data!$J$2:$J$49,Data!$B$2:$B$49,$A8)</f>
        <v>1036.8</v>
      </c>
      <c r="G8" s="9" t="n">
        <f aca="false">SUMIFS(Data!$K$2:$K$49,Data!$B$2:$B$49,$A8)</f>
        <v>1147.9</v>
      </c>
      <c r="H8" s="10" t="n">
        <f aca="false">G8-F8</f>
        <v>111.1</v>
      </c>
      <c r="I8" s="8" t="n">
        <f aca="false">IF(F8=0,0,H8/F8)</f>
        <v>0.107156635802469</v>
      </c>
    </row>
    <row r="9" customFormat="false" ht="15" hidden="false" customHeight="false" outlineLevel="0" collapsed="false">
      <c r="A9" s="5" t="s">
        <v>14</v>
      </c>
      <c r="B9" s="6" t="n">
        <f aca="false">SUMIFS(Data!$F$2:$F$49,Data!$B$2:$B$49,$A9,Data!$A$2:$A$49,$B$3)</f>
        <v>37</v>
      </c>
      <c r="C9" s="6" t="n">
        <f aca="false">SUMIFS(Data!$G$2:$G$49,Data!$B$2:$B$49,$A9,Data!$A$2:$A$49,$B$3)</f>
        <v>30</v>
      </c>
      <c r="D9" s="7" t="n">
        <f aca="false">C9-B9</f>
        <v>-7</v>
      </c>
      <c r="E9" s="8" t="n">
        <f aca="false">IF(B9=0,0,D9/B9)</f>
        <v>-0.189189189189189</v>
      </c>
      <c r="F9" s="9" t="n">
        <f aca="false">SUMIFS(Data!$J$2:$J$49,Data!$B$2:$B$49,$A9)</f>
        <v>900</v>
      </c>
      <c r="G9" s="9" t="n">
        <f aca="false">SUMIFS(Data!$K$2:$K$49,Data!$B$2:$B$49,$A9)</f>
        <v>784.2</v>
      </c>
      <c r="H9" s="10" t="n">
        <f aca="false">G9-F9</f>
        <v>-115.8</v>
      </c>
      <c r="I9" s="8" t="n">
        <f aca="false">IF(F9=0,0,H9/F9)</f>
        <v>-0.128666666666667</v>
      </c>
    </row>
    <row r="10" customFormat="false" ht="15" hidden="false" customHeight="false" outlineLevel="0" collapsed="false">
      <c r="A10" s="2" t="s">
        <v>15</v>
      </c>
      <c r="B10" s="11" t="n">
        <f aca="false">SUM(B6:B9)</f>
        <v>217</v>
      </c>
      <c r="C10" s="11" t="n">
        <f aca="false">SUM(C6:C9)</f>
        <v>193</v>
      </c>
      <c r="D10" s="11" t="n">
        <f aca="false">C10-B10</f>
        <v>-24</v>
      </c>
      <c r="E10" s="12" t="n">
        <f aca="false">IF(B10=0,0,D10/B10)</f>
        <v>-0.110599078341014</v>
      </c>
      <c r="F10" s="13" t="n">
        <f aca="false">SUM(F6:F9)</f>
        <v>4977.6</v>
      </c>
      <c r="G10" s="13" t="n">
        <f aca="false">SUM(G6:G9)</f>
        <v>4674.3</v>
      </c>
      <c r="H10" s="13" t="n">
        <f aca="false">G10-F10</f>
        <v>-303.3</v>
      </c>
      <c r="I10" s="12" t="n">
        <f aca="false">IF(F10=0,0,H10/F10)</f>
        <v>-0.0609329797492768</v>
      </c>
    </row>
    <row r="12" customFormat="false" ht="15" hidden="false" customHeight="false" outlineLevel="0" collapsed="false">
      <c r="A12" s="1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17</v>
      </c>
    </row>
    <row r="3" customFormat="false" ht="15" hidden="false" customHeight="false" outlineLevel="0" collapsed="false">
      <c r="A3" s="5" t="s">
        <v>18</v>
      </c>
    </row>
    <row r="4" customFormat="false" ht="15" hidden="false" customHeight="false" outlineLevel="0" collapsed="false">
      <c r="A4" s="5" t="s">
        <v>19</v>
      </c>
    </row>
    <row r="5" customFormat="false" ht="15" hidden="false" customHeight="false" outlineLevel="0" collapsed="false">
      <c r="A5" s="5" t="s">
        <v>20</v>
      </c>
    </row>
    <row r="6" customFormat="false" ht="15" hidden="false" customHeight="false" outlineLevel="0" collapsed="false">
      <c r="A6" s="5" t="s">
        <v>21</v>
      </c>
    </row>
    <row r="7" customFormat="false" ht="15" hidden="false" customHeight="false" outlineLevel="0" collapsed="false">
      <c r="A7" s="5" t="s">
        <v>22</v>
      </c>
    </row>
    <row r="8" customFormat="false" ht="15" hidden="false" customHeight="false" outlineLevel="0" collapsed="false">
      <c r="A8" s="5" t="s">
        <v>23</v>
      </c>
    </row>
    <row r="9" customFormat="false" ht="15" hidden="false" customHeight="false" outlineLevel="0" collapsed="false">
      <c r="A9" s="5" t="s">
        <v>24</v>
      </c>
    </row>
    <row r="11" customFormat="false" ht="15" hidden="false" customHeight="false" outlineLevel="0" collapsed="false">
      <c r="A11" s="2" t="s">
        <v>25</v>
      </c>
    </row>
    <row r="12" customFormat="false" ht="15" hidden="false" customHeight="false" outlineLevel="0" collapsed="false">
      <c r="A12" s="15" t="s">
        <v>2</v>
      </c>
      <c r="B12" s="15" t="s">
        <v>26</v>
      </c>
    </row>
    <row r="13" customFormat="false" ht="15" hidden="false" customHeight="false" outlineLevel="0" collapsed="false">
      <c r="A13" s="5" t="s">
        <v>11</v>
      </c>
      <c r="B13" s="16" t="n">
        <v>60</v>
      </c>
    </row>
    <row r="14" customFormat="false" ht="15" hidden="false" customHeight="false" outlineLevel="0" collapsed="false">
      <c r="A14" s="5" t="s">
        <v>12</v>
      </c>
      <c r="B14" s="16" t="n">
        <v>20</v>
      </c>
    </row>
    <row r="15" customFormat="false" ht="15" hidden="false" customHeight="false" outlineLevel="0" collapsed="false">
      <c r="A15" s="5" t="s">
        <v>13</v>
      </c>
      <c r="B15" s="16" t="n">
        <v>40</v>
      </c>
    </row>
    <row r="16" customFormat="false" ht="15" hidden="false" customHeight="false" outlineLevel="0" collapsed="false">
      <c r="A16" s="5" t="s">
        <v>14</v>
      </c>
      <c r="B16" s="16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11" min="9" style="0" width="20"/>
    <col collapsed="false" customWidth="true" hidden="false" outlineLevel="0" max="12" min="12" style="0" width="22"/>
    <col collapsed="false" customWidth="true" hidden="false" outlineLevel="0" max="13" min="13" style="0" width="16"/>
  </cols>
  <sheetData>
    <row r="1" customFormat="false" ht="31.5" hidden="false" customHeight="true" outlineLevel="0" collapsed="false">
      <c r="A1" s="4" t="s">
        <v>27</v>
      </c>
      <c r="B1" s="4" t="s">
        <v>2</v>
      </c>
      <c r="C1" s="4" t="s">
        <v>28</v>
      </c>
      <c r="D1" s="4" t="s">
        <v>29</v>
      </c>
      <c r="E1" s="4" t="s">
        <v>30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31</v>
      </c>
      <c r="K1" s="4" t="s">
        <v>32</v>
      </c>
      <c r="L1" s="4" t="s">
        <v>9</v>
      </c>
      <c r="M1" s="4" t="s">
        <v>10</v>
      </c>
    </row>
    <row r="2" customFormat="false" ht="15" hidden="false" customHeight="false" outlineLevel="0" collapsed="false">
      <c r="A2" s="17" t="n">
        <v>45748</v>
      </c>
      <c r="B2" s="5" t="s">
        <v>11</v>
      </c>
      <c r="C2" s="16" t="n">
        <v>3</v>
      </c>
      <c r="D2" s="16" t="n">
        <v>3</v>
      </c>
      <c r="E2" s="16" t="n">
        <v>1</v>
      </c>
      <c r="F2" s="18" t="n">
        <f aca="false">Assumptions!$B$13+C2</f>
        <v>63</v>
      </c>
      <c r="G2" s="18" t="n">
        <f aca="false">Assumptions!$B$13+D2-E2</f>
        <v>62</v>
      </c>
      <c r="H2" s="7" t="n">
        <f aca="false">G2-F2</f>
        <v>-1</v>
      </c>
      <c r="I2" s="8" t="n">
        <f aca="false">IF(F2=0,0,H2/F2)</f>
        <v>-0.0158730158730159</v>
      </c>
      <c r="J2" s="19" t="n">
        <v>168.6</v>
      </c>
      <c r="K2" s="19" t="n">
        <v>160.7</v>
      </c>
      <c r="L2" s="10" t="n">
        <f aca="false">K2-J2</f>
        <v>-7.90000000000001</v>
      </c>
      <c r="M2" s="8" t="n">
        <f aca="false">IF(J2=0,0,L2/J2)</f>
        <v>-0.0468564650059312</v>
      </c>
    </row>
    <row r="3" customFormat="false" ht="15" hidden="false" customHeight="false" outlineLevel="0" collapsed="false">
      <c r="A3" s="17" t="n">
        <v>45748</v>
      </c>
      <c r="B3" s="5" t="s">
        <v>12</v>
      </c>
      <c r="C3" s="16" t="n">
        <v>1</v>
      </c>
      <c r="D3" s="16" t="n">
        <v>1</v>
      </c>
      <c r="E3" s="16" t="n">
        <v>0</v>
      </c>
      <c r="F3" s="18" t="n">
        <f aca="false">Assumptions!$B$14+C3</f>
        <v>21</v>
      </c>
      <c r="G3" s="18" t="n">
        <f aca="false">Assumptions!$B$14+D3-E3</f>
        <v>21</v>
      </c>
      <c r="H3" s="7" t="n">
        <f aca="false">G3-F3</f>
        <v>0</v>
      </c>
      <c r="I3" s="8" t="n">
        <f aca="false">IF(F3=0,0,H3/F3)</f>
        <v>0</v>
      </c>
      <c r="J3" s="19" t="n">
        <v>45.8</v>
      </c>
      <c r="K3" s="19" t="n">
        <v>44.9</v>
      </c>
      <c r="L3" s="10" t="n">
        <f aca="false">K3-J3</f>
        <v>-0.899999999999999</v>
      </c>
      <c r="M3" s="8" t="n">
        <f aca="false">IF(J3=0,0,L3/J3)</f>
        <v>-0.019650655021834</v>
      </c>
    </row>
    <row r="4" customFormat="false" ht="15" hidden="false" customHeight="false" outlineLevel="0" collapsed="false">
      <c r="A4" s="17" t="n">
        <v>45748</v>
      </c>
      <c r="B4" s="5" t="s">
        <v>13</v>
      </c>
      <c r="C4" s="16" t="n">
        <v>2</v>
      </c>
      <c r="D4" s="16" t="n">
        <v>2</v>
      </c>
      <c r="E4" s="16" t="n">
        <v>1</v>
      </c>
      <c r="F4" s="18" t="n">
        <f aca="false">Assumptions!$B$15+C4</f>
        <v>42</v>
      </c>
      <c r="G4" s="18" t="n">
        <f aca="false">Assumptions!$B$15+D4-E4</f>
        <v>41</v>
      </c>
      <c r="H4" s="7" t="n">
        <f aca="false">G4-F4</f>
        <v>-1</v>
      </c>
      <c r="I4" s="8" t="n">
        <f aca="false">IF(F4=0,0,H4/F4)</f>
        <v>-0.0238095238095238</v>
      </c>
      <c r="J4" s="19" t="n">
        <v>75.4</v>
      </c>
      <c r="K4" s="19" t="n">
        <v>84.2</v>
      </c>
      <c r="L4" s="10" t="n">
        <f aca="false">K4-J4</f>
        <v>8.8</v>
      </c>
      <c r="M4" s="8" t="n">
        <f aca="false">IF(J4=0,0,L4/J4)</f>
        <v>0.116710875331565</v>
      </c>
    </row>
    <row r="5" customFormat="false" ht="15" hidden="false" customHeight="false" outlineLevel="0" collapsed="false">
      <c r="A5" s="17" t="n">
        <v>45748</v>
      </c>
      <c r="B5" s="5" t="s">
        <v>14</v>
      </c>
      <c r="C5" s="16" t="n">
        <v>1</v>
      </c>
      <c r="D5" s="16" t="n">
        <v>1</v>
      </c>
      <c r="E5" s="16" t="n">
        <v>0</v>
      </c>
      <c r="F5" s="18" t="n">
        <f aca="false">Assumptions!$B$16+C5</f>
        <v>26</v>
      </c>
      <c r="G5" s="18" t="n">
        <f aca="false">Assumptions!$B$16+D5-E5</f>
        <v>26</v>
      </c>
      <c r="H5" s="7" t="n">
        <f aca="false">G5-F5</f>
        <v>0</v>
      </c>
      <c r="I5" s="8" t="n">
        <f aca="false">IF(F5=0,0,H5/F5)</f>
        <v>0</v>
      </c>
      <c r="J5" s="19" t="n">
        <v>64</v>
      </c>
      <c r="K5" s="19" t="n">
        <v>61.4</v>
      </c>
      <c r="L5" s="10" t="n">
        <f aca="false">K5-J5</f>
        <v>-2.6</v>
      </c>
      <c r="M5" s="8" t="n">
        <f aca="false">IF(J5=0,0,L5/J5)</f>
        <v>-0.040625</v>
      </c>
    </row>
    <row r="6" customFormat="false" ht="15" hidden="false" customHeight="false" outlineLevel="0" collapsed="false">
      <c r="A6" s="17" t="n">
        <v>45778</v>
      </c>
      <c r="B6" s="5" t="s">
        <v>11</v>
      </c>
      <c r="C6" s="16" t="n">
        <v>3</v>
      </c>
      <c r="D6" s="16" t="n">
        <v>2</v>
      </c>
      <c r="E6" s="16" t="n">
        <v>0</v>
      </c>
      <c r="F6" s="5" t="n">
        <f aca="false">F2+C6</f>
        <v>66</v>
      </c>
      <c r="G6" s="5" t="n">
        <f aca="false">G2+D6-E6</f>
        <v>64</v>
      </c>
      <c r="H6" s="7" t="n">
        <f aca="false">G6-F6</f>
        <v>-2</v>
      </c>
      <c r="I6" s="8" t="n">
        <f aca="false">IF(F6=0,0,H6/F6)</f>
        <v>-0.0303030303030303</v>
      </c>
      <c r="J6" s="19" t="n">
        <v>175.2</v>
      </c>
      <c r="K6" s="19" t="n">
        <v>165.6</v>
      </c>
      <c r="L6" s="10" t="n">
        <f aca="false">K6-J6</f>
        <v>-9.59999999999999</v>
      </c>
      <c r="M6" s="8" t="n">
        <f aca="false">IF(J6=0,0,L6/J6)</f>
        <v>-0.0547945205479452</v>
      </c>
    </row>
    <row r="7" customFormat="false" ht="15" hidden="false" customHeight="false" outlineLevel="0" collapsed="false">
      <c r="A7" s="17" t="n">
        <v>45778</v>
      </c>
      <c r="B7" s="5" t="s">
        <v>12</v>
      </c>
      <c r="C7" s="16" t="n">
        <v>0</v>
      </c>
      <c r="D7" s="16" t="n">
        <v>0</v>
      </c>
      <c r="E7" s="16" t="n">
        <v>0</v>
      </c>
      <c r="F7" s="5" t="n">
        <f aca="false">F3+C7</f>
        <v>21</v>
      </c>
      <c r="G7" s="5" t="n">
        <f aca="false">G3+D7-E7</f>
        <v>21</v>
      </c>
      <c r="H7" s="7" t="n">
        <f aca="false">G7-F7</f>
        <v>0</v>
      </c>
      <c r="I7" s="8" t="n">
        <f aca="false">IF(F7=0,0,H7/F7)</f>
        <v>0</v>
      </c>
      <c r="J7" s="19" t="n">
        <v>45.8</v>
      </c>
      <c r="K7" s="19" t="n">
        <v>46.1</v>
      </c>
      <c r="L7" s="10" t="n">
        <f aca="false">K7-J7</f>
        <v>0.300000000000004</v>
      </c>
      <c r="M7" s="8" t="n">
        <f aca="false">IF(J7=0,0,L7/J7)</f>
        <v>0.00655021834061145</v>
      </c>
    </row>
    <row r="8" customFormat="false" ht="15" hidden="false" customHeight="false" outlineLevel="0" collapsed="false">
      <c r="A8" s="17" t="n">
        <v>45778</v>
      </c>
      <c r="B8" s="5" t="s">
        <v>13</v>
      </c>
      <c r="C8" s="16" t="n">
        <v>2</v>
      </c>
      <c r="D8" s="16" t="n">
        <v>2</v>
      </c>
      <c r="E8" s="16" t="n">
        <v>1</v>
      </c>
      <c r="F8" s="5" t="n">
        <f aca="false">F4+C8</f>
        <v>44</v>
      </c>
      <c r="G8" s="5" t="n">
        <f aca="false">G4+D8-E8</f>
        <v>42</v>
      </c>
      <c r="H8" s="7" t="n">
        <f aca="false">G8-F8</f>
        <v>-2</v>
      </c>
      <c r="I8" s="8" t="n">
        <f aca="false">IF(F8=0,0,H8/F8)</f>
        <v>-0.0454545454545455</v>
      </c>
      <c r="J8" s="19" t="n">
        <v>77.8</v>
      </c>
      <c r="K8" s="19" t="n">
        <v>87.4</v>
      </c>
      <c r="L8" s="10" t="n">
        <f aca="false">K8-J8</f>
        <v>9.60000000000001</v>
      </c>
      <c r="M8" s="8" t="n">
        <f aca="false">IF(J8=0,0,L8/J8)</f>
        <v>0.123393316195373</v>
      </c>
    </row>
    <row r="9" customFormat="false" ht="15" hidden="false" customHeight="false" outlineLevel="0" collapsed="false">
      <c r="A9" s="17" t="n">
        <v>45778</v>
      </c>
      <c r="B9" s="5" t="s">
        <v>14</v>
      </c>
      <c r="C9" s="16" t="n">
        <v>1</v>
      </c>
      <c r="D9" s="16" t="n">
        <v>0</v>
      </c>
      <c r="E9" s="16" t="n">
        <v>0</v>
      </c>
      <c r="F9" s="5" t="n">
        <f aca="false">F5+C9</f>
        <v>27</v>
      </c>
      <c r="G9" s="5" t="n">
        <f aca="false">G5+D9-E9</f>
        <v>26</v>
      </c>
      <c r="H9" s="7" t="n">
        <f aca="false">G9-F9</f>
        <v>-1</v>
      </c>
      <c r="I9" s="8" t="n">
        <f aca="false">IF(F9=0,0,H9/F9)</f>
        <v>-0.037037037037037</v>
      </c>
      <c r="J9" s="19" t="n">
        <v>66</v>
      </c>
      <c r="K9" s="19" t="n">
        <v>61</v>
      </c>
      <c r="L9" s="10" t="n">
        <f aca="false">K9-J9</f>
        <v>-5</v>
      </c>
      <c r="M9" s="8" t="n">
        <f aca="false">IF(J9=0,0,L9/J9)</f>
        <v>-0.0757575757575758</v>
      </c>
    </row>
    <row r="10" customFormat="false" ht="15" hidden="false" customHeight="false" outlineLevel="0" collapsed="false">
      <c r="A10" s="17" t="n">
        <v>45809</v>
      </c>
      <c r="B10" s="5" t="s">
        <v>11</v>
      </c>
      <c r="C10" s="16" t="n">
        <v>3</v>
      </c>
      <c r="D10" s="16" t="n">
        <v>3</v>
      </c>
      <c r="E10" s="16" t="n">
        <v>1</v>
      </c>
      <c r="F10" s="5" t="n">
        <f aca="false">F6+C10</f>
        <v>69</v>
      </c>
      <c r="G10" s="5" t="n">
        <f aca="false">G6+D10-E10</f>
        <v>66</v>
      </c>
      <c r="H10" s="7" t="n">
        <f aca="false">G10-F10</f>
        <v>-3</v>
      </c>
      <c r="I10" s="8" t="n">
        <f aca="false">IF(F10=0,0,H10/F10)</f>
        <v>-0.0434782608695652</v>
      </c>
      <c r="J10" s="19" t="n">
        <v>181.8</v>
      </c>
      <c r="K10" s="19" t="n">
        <v>167.6</v>
      </c>
      <c r="L10" s="10" t="n">
        <f aca="false">K10-J10</f>
        <v>-14.2</v>
      </c>
      <c r="M10" s="8" t="n">
        <f aca="false">IF(J10=0,0,L10/J10)</f>
        <v>-0.0781078107810782</v>
      </c>
    </row>
    <row r="11" customFormat="false" ht="15" hidden="false" customHeight="false" outlineLevel="0" collapsed="false">
      <c r="A11" s="17" t="n">
        <v>45809</v>
      </c>
      <c r="B11" s="5" t="s">
        <v>12</v>
      </c>
      <c r="C11" s="16" t="n">
        <v>0</v>
      </c>
      <c r="D11" s="16" t="n">
        <v>0</v>
      </c>
      <c r="E11" s="16" t="n">
        <v>0</v>
      </c>
      <c r="F11" s="5" t="n">
        <f aca="false">F7+C11</f>
        <v>21</v>
      </c>
      <c r="G11" s="5" t="n">
        <f aca="false">G7+D11-E11</f>
        <v>21</v>
      </c>
      <c r="H11" s="7" t="n">
        <f aca="false">G11-F11</f>
        <v>0</v>
      </c>
      <c r="I11" s="8" t="n">
        <f aca="false">IF(F11=0,0,H11/F11)</f>
        <v>0</v>
      </c>
      <c r="J11" s="19" t="n">
        <v>45.8</v>
      </c>
      <c r="K11" s="19" t="n">
        <v>44.9</v>
      </c>
      <c r="L11" s="10" t="n">
        <f aca="false">K11-J11</f>
        <v>-0.899999999999999</v>
      </c>
      <c r="M11" s="8" t="n">
        <f aca="false">IF(J11=0,0,L11/J11)</f>
        <v>-0.019650655021834</v>
      </c>
    </row>
    <row r="12" customFormat="false" ht="15" hidden="false" customHeight="false" outlineLevel="0" collapsed="false">
      <c r="A12" s="17" t="n">
        <v>45809</v>
      </c>
      <c r="B12" s="5" t="s">
        <v>13</v>
      </c>
      <c r="C12" s="16" t="n">
        <v>1</v>
      </c>
      <c r="D12" s="16" t="n">
        <v>2</v>
      </c>
      <c r="E12" s="16" t="n">
        <v>0</v>
      </c>
      <c r="F12" s="5" t="n">
        <f aca="false">F8+C12</f>
        <v>45</v>
      </c>
      <c r="G12" s="5" t="n">
        <f aca="false">G8+D12-E12</f>
        <v>44</v>
      </c>
      <c r="H12" s="7" t="n">
        <f aca="false">G12-F12</f>
        <v>-1</v>
      </c>
      <c r="I12" s="8" t="n">
        <f aca="false">IF(F12=0,0,H12/F12)</f>
        <v>-0.0222222222222222</v>
      </c>
      <c r="J12" s="19" t="n">
        <v>79</v>
      </c>
      <c r="K12" s="19" t="n">
        <v>87.9</v>
      </c>
      <c r="L12" s="10" t="n">
        <f aca="false">K12-J12</f>
        <v>8.90000000000001</v>
      </c>
      <c r="M12" s="8" t="n">
        <f aca="false">IF(J12=0,0,L12/J12)</f>
        <v>0.112658227848101</v>
      </c>
    </row>
    <row r="13" customFormat="false" ht="15" hidden="false" customHeight="false" outlineLevel="0" collapsed="false">
      <c r="A13" s="17" t="n">
        <v>45809</v>
      </c>
      <c r="B13" s="5" t="s">
        <v>14</v>
      </c>
      <c r="C13" s="16" t="n">
        <v>1</v>
      </c>
      <c r="D13" s="16" t="n">
        <v>1</v>
      </c>
      <c r="E13" s="16" t="n">
        <v>0</v>
      </c>
      <c r="F13" s="5" t="n">
        <f aca="false">F9+C13</f>
        <v>28</v>
      </c>
      <c r="G13" s="5" t="n">
        <f aca="false">G9+D13-E13</f>
        <v>27</v>
      </c>
      <c r="H13" s="7" t="n">
        <f aca="false">G13-F13</f>
        <v>-1</v>
      </c>
      <c r="I13" s="8" t="n">
        <f aca="false">IF(F13=0,0,H13/F13)</f>
        <v>-0.0357142857142857</v>
      </c>
      <c r="J13" s="19" t="n">
        <v>68</v>
      </c>
      <c r="K13" s="19" t="n">
        <v>64</v>
      </c>
      <c r="L13" s="10" t="n">
        <f aca="false">K13-J13</f>
        <v>-4</v>
      </c>
      <c r="M13" s="8" t="n">
        <f aca="false">IF(J13=0,0,L13/J13)</f>
        <v>-0.0588235294117647</v>
      </c>
    </row>
    <row r="14" customFormat="false" ht="15" hidden="false" customHeight="false" outlineLevel="0" collapsed="false">
      <c r="A14" s="17" t="n">
        <v>45839</v>
      </c>
      <c r="B14" s="5" t="s">
        <v>11</v>
      </c>
      <c r="C14" s="16" t="n">
        <v>3</v>
      </c>
      <c r="D14" s="16" t="n">
        <v>3</v>
      </c>
      <c r="E14" s="16" t="n">
        <v>1</v>
      </c>
      <c r="F14" s="5" t="n">
        <f aca="false">F10+C14</f>
        <v>72</v>
      </c>
      <c r="G14" s="5" t="n">
        <f aca="false">G10+D14-E14</f>
        <v>68</v>
      </c>
      <c r="H14" s="7" t="n">
        <f aca="false">G14-F14</f>
        <v>-4</v>
      </c>
      <c r="I14" s="8" t="n">
        <f aca="false">IF(F14=0,0,H14/F14)</f>
        <v>-0.0555555555555556</v>
      </c>
      <c r="J14" s="19" t="n">
        <v>188.4</v>
      </c>
      <c r="K14" s="19" t="n">
        <v>169</v>
      </c>
      <c r="L14" s="10" t="n">
        <f aca="false">K14-J14</f>
        <v>-19.4</v>
      </c>
      <c r="M14" s="8" t="n">
        <f aca="false">IF(J14=0,0,L14/J14)</f>
        <v>-0.102972399150743</v>
      </c>
    </row>
    <row r="15" customFormat="false" ht="15" hidden="false" customHeight="false" outlineLevel="0" collapsed="false">
      <c r="A15" s="17" t="n">
        <v>45839</v>
      </c>
      <c r="B15" s="5" t="s">
        <v>12</v>
      </c>
      <c r="C15" s="16" t="n">
        <v>1</v>
      </c>
      <c r="D15" s="16" t="n">
        <v>1</v>
      </c>
      <c r="E15" s="16" t="n">
        <v>0</v>
      </c>
      <c r="F15" s="5" t="n">
        <f aca="false">F11+C15</f>
        <v>22</v>
      </c>
      <c r="G15" s="5" t="n">
        <f aca="false">G11+D15-E15</f>
        <v>22</v>
      </c>
      <c r="H15" s="7" t="n">
        <f aca="false">G15-F15</f>
        <v>0</v>
      </c>
      <c r="I15" s="8" t="n">
        <f aca="false">IF(F15=0,0,H15/F15)</f>
        <v>0</v>
      </c>
      <c r="J15" s="19" t="n">
        <v>47.6</v>
      </c>
      <c r="K15" s="19" t="n">
        <v>47</v>
      </c>
      <c r="L15" s="10" t="n">
        <f aca="false">K15-J15</f>
        <v>-0.600000000000001</v>
      </c>
      <c r="M15" s="8" t="n">
        <f aca="false">IF(J15=0,0,L15/J15)</f>
        <v>-0.0126050420168068</v>
      </c>
    </row>
    <row r="16" customFormat="false" ht="15" hidden="false" customHeight="false" outlineLevel="0" collapsed="false">
      <c r="A16" s="17" t="n">
        <v>45839</v>
      </c>
      <c r="B16" s="5" t="s">
        <v>13</v>
      </c>
      <c r="C16" s="16" t="n">
        <v>2</v>
      </c>
      <c r="D16" s="16" t="n">
        <v>2</v>
      </c>
      <c r="E16" s="16" t="n">
        <v>1</v>
      </c>
      <c r="F16" s="5" t="n">
        <f aca="false">F12+C16</f>
        <v>47</v>
      </c>
      <c r="G16" s="5" t="n">
        <f aca="false">G12+D16-E16</f>
        <v>45</v>
      </c>
      <c r="H16" s="7" t="n">
        <f aca="false">G16-F16</f>
        <v>-2</v>
      </c>
      <c r="I16" s="8" t="n">
        <f aca="false">IF(F16=0,0,H16/F16)</f>
        <v>-0.0425531914893617</v>
      </c>
      <c r="J16" s="19" t="n">
        <v>81.4</v>
      </c>
      <c r="K16" s="19" t="n">
        <v>90.6</v>
      </c>
      <c r="L16" s="10" t="n">
        <f aca="false">K16-J16</f>
        <v>9.19999999999999</v>
      </c>
      <c r="M16" s="8" t="n">
        <f aca="false">IF(J16=0,0,L16/J16)</f>
        <v>0.113022113022113</v>
      </c>
    </row>
    <row r="17" customFormat="false" ht="15" hidden="false" customHeight="false" outlineLevel="0" collapsed="false">
      <c r="A17" s="17" t="n">
        <v>45839</v>
      </c>
      <c r="B17" s="5" t="s">
        <v>14</v>
      </c>
      <c r="C17" s="16" t="n">
        <v>1</v>
      </c>
      <c r="D17" s="16" t="n">
        <v>1</v>
      </c>
      <c r="E17" s="16" t="n">
        <v>1</v>
      </c>
      <c r="F17" s="5" t="n">
        <f aca="false">F13+C17</f>
        <v>29</v>
      </c>
      <c r="G17" s="5" t="n">
        <f aca="false">G13+D17-E17</f>
        <v>27</v>
      </c>
      <c r="H17" s="7" t="n">
        <f aca="false">G17-F17</f>
        <v>-2</v>
      </c>
      <c r="I17" s="8" t="n">
        <f aca="false">IF(F17=0,0,H17/F17)</f>
        <v>-0.0689655172413793</v>
      </c>
      <c r="J17" s="19" t="n">
        <v>70</v>
      </c>
      <c r="K17" s="19" t="n">
        <v>64.1</v>
      </c>
      <c r="L17" s="10" t="n">
        <f aca="false">K17-J17</f>
        <v>-5.90000000000001</v>
      </c>
      <c r="M17" s="8" t="n">
        <f aca="false">IF(J17=0,0,L17/J17)</f>
        <v>-0.0842857142857144</v>
      </c>
    </row>
    <row r="18" customFormat="false" ht="15" hidden="false" customHeight="false" outlineLevel="0" collapsed="false">
      <c r="A18" s="17" t="n">
        <v>45870</v>
      </c>
      <c r="B18" s="5" t="s">
        <v>11</v>
      </c>
      <c r="C18" s="16" t="n">
        <v>3</v>
      </c>
      <c r="D18" s="16" t="n">
        <v>2</v>
      </c>
      <c r="E18" s="16" t="n">
        <v>1</v>
      </c>
      <c r="F18" s="5" t="n">
        <f aca="false">F14+C18</f>
        <v>75</v>
      </c>
      <c r="G18" s="5" t="n">
        <f aca="false">G14+D18-E18</f>
        <v>69</v>
      </c>
      <c r="H18" s="7" t="n">
        <f aca="false">G18-F18</f>
        <v>-6</v>
      </c>
      <c r="I18" s="8" t="n">
        <f aca="false">IF(F18=0,0,H18/F18)</f>
        <v>-0.08</v>
      </c>
      <c r="J18" s="19" t="n">
        <v>195</v>
      </c>
      <c r="K18" s="19" t="n">
        <v>172.5</v>
      </c>
      <c r="L18" s="10" t="n">
        <f aca="false">K18-J18</f>
        <v>-22.5</v>
      </c>
      <c r="M18" s="8" t="n">
        <f aca="false">IF(J18=0,0,L18/J18)</f>
        <v>-0.115384615384615</v>
      </c>
    </row>
    <row r="19" customFormat="false" ht="15" hidden="false" customHeight="false" outlineLevel="0" collapsed="false">
      <c r="A19" s="17" t="n">
        <v>45870</v>
      </c>
      <c r="B19" s="5" t="s">
        <v>12</v>
      </c>
      <c r="C19" s="16" t="n">
        <v>0</v>
      </c>
      <c r="D19" s="16" t="n">
        <v>0</v>
      </c>
      <c r="E19" s="16" t="n">
        <v>1</v>
      </c>
      <c r="F19" s="5" t="n">
        <f aca="false">F15+C19</f>
        <v>22</v>
      </c>
      <c r="G19" s="5" t="n">
        <f aca="false">G15+D19-E19</f>
        <v>21</v>
      </c>
      <c r="H19" s="7" t="n">
        <f aca="false">G19-F19</f>
        <v>-1</v>
      </c>
      <c r="I19" s="8" t="n">
        <f aca="false">IF(F19=0,0,H19/F19)</f>
        <v>-0.0454545454545455</v>
      </c>
      <c r="J19" s="19" t="n">
        <v>47.6</v>
      </c>
      <c r="K19" s="19" t="n">
        <v>46</v>
      </c>
      <c r="L19" s="10" t="n">
        <f aca="false">K19-J19</f>
        <v>-1.6</v>
      </c>
      <c r="M19" s="8" t="n">
        <f aca="false">IF(J19=0,0,L19/J19)</f>
        <v>-0.0336134453781513</v>
      </c>
    </row>
    <row r="20" customFormat="false" ht="15" hidden="false" customHeight="false" outlineLevel="0" collapsed="false">
      <c r="A20" s="17" t="n">
        <v>45870</v>
      </c>
      <c r="B20" s="5" t="s">
        <v>13</v>
      </c>
      <c r="C20" s="16" t="n">
        <v>2</v>
      </c>
      <c r="D20" s="16" t="n">
        <v>3</v>
      </c>
      <c r="E20" s="16" t="n">
        <v>1</v>
      </c>
      <c r="F20" s="5" t="n">
        <f aca="false">F16+C20</f>
        <v>49</v>
      </c>
      <c r="G20" s="5" t="n">
        <f aca="false">G16+D20-E20</f>
        <v>47</v>
      </c>
      <c r="H20" s="7" t="n">
        <f aca="false">G20-F20</f>
        <v>-2</v>
      </c>
      <c r="I20" s="8" t="n">
        <f aca="false">IF(F20=0,0,H20/F20)</f>
        <v>-0.0408163265306122</v>
      </c>
      <c r="J20" s="19" t="n">
        <v>83.8</v>
      </c>
      <c r="K20" s="19" t="n">
        <v>93.7</v>
      </c>
      <c r="L20" s="10" t="n">
        <f aca="false">K20-J20</f>
        <v>9.90000000000001</v>
      </c>
      <c r="M20" s="8" t="n">
        <f aca="false">IF(J20=0,0,L20/J20)</f>
        <v>0.118138424821002</v>
      </c>
    </row>
    <row r="21" customFormat="false" ht="15" hidden="false" customHeight="false" outlineLevel="0" collapsed="false">
      <c r="A21" s="17" t="n">
        <v>45870</v>
      </c>
      <c r="B21" s="5" t="s">
        <v>14</v>
      </c>
      <c r="C21" s="16" t="n">
        <v>1</v>
      </c>
      <c r="D21" s="16" t="n">
        <v>0</v>
      </c>
      <c r="E21" s="16" t="n">
        <v>0</v>
      </c>
      <c r="F21" s="5" t="n">
        <f aca="false">F17+C21</f>
        <v>30</v>
      </c>
      <c r="G21" s="5" t="n">
        <f aca="false">G17+D21-E21</f>
        <v>27</v>
      </c>
      <c r="H21" s="7" t="n">
        <f aca="false">G21-F21</f>
        <v>-3</v>
      </c>
      <c r="I21" s="8" t="n">
        <f aca="false">IF(F21=0,0,H21/F21)</f>
        <v>-0.1</v>
      </c>
      <c r="J21" s="19" t="n">
        <v>72</v>
      </c>
      <c r="K21" s="19" t="n">
        <v>62.7</v>
      </c>
      <c r="L21" s="10" t="n">
        <f aca="false">K21-J21</f>
        <v>-9.3</v>
      </c>
      <c r="M21" s="8" t="n">
        <f aca="false">IF(J21=0,0,L21/J21)</f>
        <v>-0.129166666666667</v>
      </c>
    </row>
    <row r="22" customFormat="false" ht="15" hidden="false" customHeight="false" outlineLevel="0" collapsed="false">
      <c r="A22" s="17" t="n">
        <v>45901</v>
      </c>
      <c r="B22" s="5" t="s">
        <v>11</v>
      </c>
      <c r="C22" s="16" t="n">
        <v>3</v>
      </c>
      <c r="D22" s="16" t="n">
        <v>3</v>
      </c>
      <c r="E22" s="16" t="n">
        <v>0</v>
      </c>
      <c r="F22" s="5" t="n">
        <f aca="false">F18+C22</f>
        <v>78</v>
      </c>
      <c r="G22" s="5" t="n">
        <f aca="false">G18+D22-E22</f>
        <v>72</v>
      </c>
      <c r="H22" s="7" t="n">
        <f aca="false">G22-F22</f>
        <v>-6</v>
      </c>
      <c r="I22" s="8" t="n">
        <f aca="false">IF(F22=0,0,H22/F22)</f>
        <v>-0.0769230769230769</v>
      </c>
      <c r="J22" s="19" t="n">
        <v>201.6</v>
      </c>
      <c r="K22" s="19" t="n">
        <v>183.2</v>
      </c>
      <c r="L22" s="10" t="n">
        <f aca="false">K22-J22</f>
        <v>-18.4</v>
      </c>
      <c r="M22" s="8" t="n">
        <f aca="false">IF(J22=0,0,L22/J22)</f>
        <v>-0.0912698412698413</v>
      </c>
    </row>
    <row r="23" customFormat="false" ht="15" hidden="false" customHeight="false" outlineLevel="0" collapsed="false">
      <c r="A23" s="17" t="n">
        <v>45901</v>
      </c>
      <c r="B23" s="5" t="s">
        <v>12</v>
      </c>
      <c r="C23" s="16" t="n">
        <v>0</v>
      </c>
      <c r="D23" s="16" t="n">
        <v>0</v>
      </c>
      <c r="E23" s="16" t="n">
        <v>0</v>
      </c>
      <c r="F23" s="5" t="n">
        <f aca="false">F19+C23</f>
        <v>22</v>
      </c>
      <c r="G23" s="5" t="n">
        <f aca="false">G19+D23-E23</f>
        <v>21</v>
      </c>
      <c r="H23" s="7" t="n">
        <f aca="false">G23-F23</f>
        <v>-1</v>
      </c>
      <c r="I23" s="8" t="n">
        <f aca="false">IF(F23=0,0,H23/F23)</f>
        <v>-0.0454545454545455</v>
      </c>
      <c r="J23" s="19" t="n">
        <v>47.6</v>
      </c>
      <c r="K23" s="19" t="n">
        <v>46.2</v>
      </c>
      <c r="L23" s="10" t="n">
        <f aca="false">K23-J23</f>
        <v>-1.4</v>
      </c>
      <c r="M23" s="8" t="n">
        <f aca="false">IF(J23=0,0,L23/J23)</f>
        <v>-0.0294117647058823</v>
      </c>
    </row>
    <row r="24" customFormat="false" ht="15" hidden="false" customHeight="false" outlineLevel="0" collapsed="false">
      <c r="A24" s="17" t="n">
        <v>45901</v>
      </c>
      <c r="B24" s="5" t="s">
        <v>13</v>
      </c>
      <c r="C24" s="16" t="n">
        <v>1</v>
      </c>
      <c r="D24" s="16" t="n">
        <v>2</v>
      </c>
      <c r="E24" s="16" t="n">
        <v>1</v>
      </c>
      <c r="F24" s="5" t="n">
        <f aca="false">F20+C24</f>
        <v>50</v>
      </c>
      <c r="G24" s="5" t="n">
        <f aca="false">G20+D24-E24</f>
        <v>48</v>
      </c>
      <c r="H24" s="7" t="n">
        <f aca="false">G24-F24</f>
        <v>-2</v>
      </c>
      <c r="I24" s="8" t="n">
        <f aca="false">IF(F24=0,0,H24/F24)</f>
        <v>-0.04</v>
      </c>
      <c r="J24" s="19" t="n">
        <v>85</v>
      </c>
      <c r="K24" s="19" t="n">
        <v>93.5</v>
      </c>
      <c r="L24" s="10" t="n">
        <f aca="false">K24-J24</f>
        <v>8.5</v>
      </c>
      <c r="M24" s="8" t="n">
        <f aca="false">IF(J24=0,0,L24/J24)</f>
        <v>0.1</v>
      </c>
    </row>
    <row r="25" customFormat="false" ht="15" hidden="false" customHeight="false" outlineLevel="0" collapsed="false">
      <c r="A25" s="17" t="n">
        <v>45901</v>
      </c>
      <c r="B25" s="5" t="s">
        <v>14</v>
      </c>
      <c r="C25" s="16" t="n">
        <v>1</v>
      </c>
      <c r="D25" s="16" t="n">
        <v>1</v>
      </c>
      <c r="E25" s="16" t="n">
        <v>0</v>
      </c>
      <c r="F25" s="5" t="n">
        <f aca="false">F21+C25</f>
        <v>31</v>
      </c>
      <c r="G25" s="5" t="n">
        <f aca="false">G21+D25-E25</f>
        <v>28</v>
      </c>
      <c r="H25" s="7" t="n">
        <f aca="false">G25-F25</f>
        <v>-3</v>
      </c>
      <c r="I25" s="8" t="n">
        <f aca="false">IF(F25=0,0,H25/F25)</f>
        <v>-0.0967741935483871</v>
      </c>
      <c r="J25" s="19" t="n">
        <v>74</v>
      </c>
      <c r="K25" s="19" t="n">
        <v>65</v>
      </c>
      <c r="L25" s="10" t="n">
        <f aca="false">K25-J25</f>
        <v>-9</v>
      </c>
      <c r="M25" s="8" t="n">
        <f aca="false">IF(J25=0,0,L25/J25)</f>
        <v>-0.121621621621622</v>
      </c>
    </row>
    <row r="26" customFormat="false" ht="15" hidden="false" customHeight="false" outlineLevel="0" collapsed="false">
      <c r="A26" s="17" t="n">
        <v>45931</v>
      </c>
      <c r="B26" s="5" t="s">
        <v>11</v>
      </c>
      <c r="C26" s="16" t="n">
        <v>3</v>
      </c>
      <c r="D26" s="16" t="n">
        <v>3</v>
      </c>
      <c r="E26" s="16" t="n">
        <v>2</v>
      </c>
      <c r="F26" s="5" t="n">
        <f aca="false">F22+C26</f>
        <v>81</v>
      </c>
      <c r="G26" s="5" t="n">
        <f aca="false">G22+D26-E26</f>
        <v>73</v>
      </c>
      <c r="H26" s="7" t="n">
        <f aca="false">G26-F26</f>
        <v>-8</v>
      </c>
      <c r="I26" s="8" t="n">
        <f aca="false">IF(F26=0,0,H26/F26)</f>
        <v>-0.0987654320987654</v>
      </c>
      <c r="J26" s="19" t="n">
        <v>208.2</v>
      </c>
      <c r="K26" s="19" t="n">
        <v>186.5</v>
      </c>
      <c r="L26" s="10" t="n">
        <f aca="false">K26-J26</f>
        <v>-21.7</v>
      </c>
      <c r="M26" s="8" t="n">
        <f aca="false">IF(J26=0,0,L26/J26)</f>
        <v>-0.104226705091258</v>
      </c>
    </row>
    <row r="27" customFormat="false" ht="15" hidden="false" customHeight="false" outlineLevel="0" collapsed="false">
      <c r="A27" s="17" t="n">
        <v>45931</v>
      </c>
      <c r="B27" s="5" t="s">
        <v>12</v>
      </c>
      <c r="C27" s="16" t="n">
        <v>1</v>
      </c>
      <c r="D27" s="16" t="n">
        <v>1</v>
      </c>
      <c r="E27" s="16" t="n">
        <v>0</v>
      </c>
      <c r="F27" s="5" t="n">
        <f aca="false">F23+C27</f>
        <v>23</v>
      </c>
      <c r="G27" s="5" t="n">
        <f aca="false">G23+D27-E27</f>
        <v>22</v>
      </c>
      <c r="H27" s="7" t="n">
        <f aca="false">G27-F27</f>
        <v>-1</v>
      </c>
      <c r="I27" s="8" t="n">
        <f aca="false">IF(F27=0,0,H27/F27)</f>
        <v>-0.0434782608695652</v>
      </c>
      <c r="J27" s="19" t="n">
        <v>49.4</v>
      </c>
      <c r="K27" s="19" t="n">
        <v>47.3</v>
      </c>
      <c r="L27" s="10" t="n">
        <f aca="false">K27-J27</f>
        <v>-2.1</v>
      </c>
      <c r="M27" s="8" t="n">
        <f aca="false">IF(J27=0,0,L27/J27)</f>
        <v>-0.0425101214574899</v>
      </c>
    </row>
    <row r="28" customFormat="false" ht="15" hidden="false" customHeight="false" outlineLevel="0" collapsed="false">
      <c r="A28" s="17" t="n">
        <v>45931</v>
      </c>
      <c r="B28" s="5" t="s">
        <v>13</v>
      </c>
      <c r="C28" s="16" t="n">
        <v>2</v>
      </c>
      <c r="D28" s="16" t="n">
        <v>2</v>
      </c>
      <c r="E28" s="16" t="n">
        <v>0</v>
      </c>
      <c r="F28" s="5" t="n">
        <f aca="false">F24+C28</f>
        <v>52</v>
      </c>
      <c r="G28" s="5" t="n">
        <f aca="false">G24+D28-E28</f>
        <v>50</v>
      </c>
      <c r="H28" s="7" t="n">
        <f aca="false">G28-F28</f>
        <v>-2</v>
      </c>
      <c r="I28" s="8" t="n">
        <f aca="false">IF(F28=0,0,H28/F28)</f>
        <v>-0.0384615384615385</v>
      </c>
      <c r="J28" s="19" t="n">
        <v>87.4</v>
      </c>
      <c r="K28" s="19" t="n">
        <v>95.3</v>
      </c>
      <c r="L28" s="10" t="n">
        <f aca="false">K28-J28</f>
        <v>7.89999999999999</v>
      </c>
      <c r="M28" s="8" t="n">
        <f aca="false">IF(J28=0,0,L28/J28)</f>
        <v>0.0903890160183065</v>
      </c>
    </row>
    <row r="29" customFormat="false" ht="15" hidden="false" customHeight="false" outlineLevel="0" collapsed="false">
      <c r="A29" s="17" t="n">
        <v>45931</v>
      </c>
      <c r="B29" s="5" t="s">
        <v>14</v>
      </c>
      <c r="C29" s="16" t="n">
        <v>1</v>
      </c>
      <c r="D29" s="16" t="n">
        <v>1</v>
      </c>
      <c r="E29" s="16" t="n">
        <v>1</v>
      </c>
      <c r="F29" s="5" t="n">
        <f aca="false">F25+C29</f>
        <v>32</v>
      </c>
      <c r="G29" s="5" t="n">
        <f aca="false">G25+D29-E29</f>
        <v>28</v>
      </c>
      <c r="H29" s="7" t="n">
        <f aca="false">G29-F29</f>
        <v>-4</v>
      </c>
      <c r="I29" s="8" t="n">
        <f aca="false">IF(F29=0,0,H29/F29)</f>
        <v>-0.125</v>
      </c>
      <c r="J29" s="19" t="n">
        <v>76</v>
      </c>
      <c r="K29" s="19" t="n">
        <v>64.9</v>
      </c>
      <c r="L29" s="10" t="n">
        <f aca="false">K29-J29</f>
        <v>-11.1</v>
      </c>
      <c r="M29" s="8" t="n">
        <f aca="false">IF(J29=0,0,L29/J29)</f>
        <v>-0.146052631578947</v>
      </c>
    </row>
    <row r="30" customFormat="false" ht="15" hidden="false" customHeight="false" outlineLevel="0" collapsed="false">
      <c r="A30" s="17" t="n">
        <v>45962</v>
      </c>
      <c r="B30" s="5" t="s">
        <v>11</v>
      </c>
      <c r="C30" s="16" t="n">
        <v>3</v>
      </c>
      <c r="D30" s="16" t="n">
        <v>2</v>
      </c>
      <c r="E30" s="16" t="n">
        <v>1</v>
      </c>
      <c r="F30" s="5" t="n">
        <f aca="false">F26+C30</f>
        <v>84</v>
      </c>
      <c r="G30" s="5" t="n">
        <f aca="false">G26+D30-E30</f>
        <v>74</v>
      </c>
      <c r="H30" s="7" t="n">
        <f aca="false">G30-F30</f>
        <v>-10</v>
      </c>
      <c r="I30" s="8" t="n">
        <f aca="false">IF(F30=0,0,H30/F30)</f>
        <v>-0.119047619047619</v>
      </c>
      <c r="J30" s="19" t="n">
        <v>214.8</v>
      </c>
      <c r="K30" s="19" t="n">
        <v>187.8</v>
      </c>
      <c r="L30" s="10" t="n">
        <f aca="false">K30-J30</f>
        <v>-27</v>
      </c>
      <c r="M30" s="8" t="n">
        <f aca="false">IF(J30=0,0,L30/J30)</f>
        <v>-0.125698324022346</v>
      </c>
    </row>
    <row r="31" customFormat="false" ht="15" hidden="false" customHeight="false" outlineLevel="0" collapsed="false">
      <c r="A31" s="17" t="n">
        <v>45962</v>
      </c>
      <c r="B31" s="5" t="s">
        <v>12</v>
      </c>
      <c r="C31" s="16" t="n">
        <v>0</v>
      </c>
      <c r="D31" s="16" t="n">
        <v>0</v>
      </c>
      <c r="E31" s="16" t="n">
        <v>0</v>
      </c>
      <c r="F31" s="5" t="n">
        <f aca="false">F27+C31</f>
        <v>23</v>
      </c>
      <c r="G31" s="5" t="n">
        <f aca="false">G27+D31-E31</f>
        <v>22</v>
      </c>
      <c r="H31" s="7" t="n">
        <f aca="false">G31-F31</f>
        <v>-1</v>
      </c>
      <c r="I31" s="8" t="n">
        <f aca="false">IF(F31=0,0,H31/F31)</f>
        <v>-0.0434782608695652</v>
      </c>
      <c r="J31" s="19" t="n">
        <v>49.4</v>
      </c>
      <c r="K31" s="19" t="n">
        <v>47.8</v>
      </c>
      <c r="L31" s="10" t="n">
        <f aca="false">K31-J31</f>
        <v>-1.6</v>
      </c>
      <c r="M31" s="8" t="n">
        <f aca="false">IF(J31=0,0,L31/J31)</f>
        <v>-0.0323886639676114</v>
      </c>
    </row>
    <row r="32" customFormat="false" ht="15" hidden="false" customHeight="false" outlineLevel="0" collapsed="false">
      <c r="A32" s="17" t="n">
        <v>45962</v>
      </c>
      <c r="B32" s="5" t="s">
        <v>13</v>
      </c>
      <c r="C32" s="16" t="n">
        <v>2</v>
      </c>
      <c r="D32" s="16" t="n">
        <v>3</v>
      </c>
      <c r="E32" s="16" t="n">
        <v>1</v>
      </c>
      <c r="F32" s="5" t="n">
        <f aca="false">F28+C32</f>
        <v>54</v>
      </c>
      <c r="G32" s="5" t="n">
        <f aca="false">G28+D32-E32</f>
        <v>52</v>
      </c>
      <c r="H32" s="7" t="n">
        <f aca="false">G32-F32</f>
        <v>-2</v>
      </c>
      <c r="I32" s="8" t="n">
        <f aca="false">IF(F32=0,0,H32/F32)</f>
        <v>-0.037037037037037</v>
      </c>
      <c r="J32" s="19" t="n">
        <v>89.8</v>
      </c>
      <c r="K32" s="19" t="n">
        <v>100.3</v>
      </c>
      <c r="L32" s="10" t="n">
        <f aca="false">K32-J32</f>
        <v>10.5</v>
      </c>
      <c r="M32" s="8" t="n">
        <f aca="false">IF(J32=0,0,L32/J32)</f>
        <v>0.116926503340757</v>
      </c>
    </row>
    <row r="33" customFormat="false" ht="15" hidden="false" customHeight="false" outlineLevel="0" collapsed="false">
      <c r="A33" s="17" t="n">
        <v>45962</v>
      </c>
      <c r="B33" s="5" t="s">
        <v>14</v>
      </c>
      <c r="C33" s="16" t="n">
        <v>1</v>
      </c>
      <c r="D33" s="16" t="n">
        <v>0</v>
      </c>
      <c r="E33" s="16" t="n">
        <v>0</v>
      </c>
      <c r="F33" s="5" t="n">
        <f aca="false">F29+C33</f>
        <v>33</v>
      </c>
      <c r="G33" s="5" t="n">
        <f aca="false">G29+D33-E33</f>
        <v>28</v>
      </c>
      <c r="H33" s="7" t="n">
        <f aca="false">G33-F33</f>
        <v>-5</v>
      </c>
      <c r="I33" s="8" t="n">
        <f aca="false">IF(F33=0,0,H33/F33)</f>
        <v>-0.151515151515152</v>
      </c>
      <c r="J33" s="19" t="n">
        <v>78</v>
      </c>
      <c r="K33" s="19" t="n">
        <v>66.6</v>
      </c>
      <c r="L33" s="10" t="n">
        <f aca="false">K33-J33</f>
        <v>-11.4</v>
      </c>
      <c r="M33" s="8" t="n">
        <f aca="false">IF(J33=0,0,L33/J33)</f>
        <v>-0.146153846153846</v>
      </c>
    </row>
    <row r="34" customFormat="false" ht="15" hidden="false" customHeight="false" outlineLevel="0" collapsed="false">
      <c r="A34" s="17" t="n">
        <v>45992</v>
      </c>
      <c r="B34" s="5" t="s">
        <v>11</v>
      </c>
      <c r="C34" s="16" t="n">
        <v>3</v>
      </c>
      <c r="D34" s="16" t="n">
        <v>3</v>
      </c>
      <c r="E34" s="16" t="n">
        <v>1</v>
      </c>
      <c r="F34" s="5" t="n">
        <f aca="false">F30+C34</f>
        <v>87</v>
      </c>
      <c r="G34" s="5" t="n">
        <f aca="false">G30+D34-E34</f>
        <v>76</v>
      </c>
      <c r="H34" s="7" t="n">
        <f aca="false">G34-F34</f>
        <v>-11</v>
      </c>
      <c r="I34" s="8" t="n">
        <f aca="false">IF(F34=0,0,H34/F34)</f>
        <v>-0.126436781609195</v>
      </c>
      <c r="J34" s="19" t="n">
        <v>221.4</v>
      </c>
      <c r="K34" s="19" t="n">
        <v>189.6</v>
      </c>
      <c r="L34" s="10" t="n">
        <f aca="false">K34-J34</f>
        <v>-31.8</v>
      </c>
      <c r="M34" s="8" t="n">
        <f aca="false">IF(J34=0,0,L34/J34)</f>
        <v>-0.143631436314363</v>
      </c>
    </row>
    <row r="35" customFormat="false" ht="15" hidden="false" customHeight="false" outlineLevel="0" collapsed="false">
      <c r="A35" s="17" t="n">
        <v>45992</v>
      </c>
      <c r="B35" s="5" t="s">
        <v>12</v>
      </c>
      <c r="C35" s="16" t="n">
        <v>0</v>
      </c>
      <c r="D35" s="16" t="n">
        <v>0</v>
      </c>
      <c r="E35" s="16" t="n">
        <v>0</v>
      </c>
      <c r="F35" s="5" t="n">
        <f aca="false">F31+C35</f>
        <v>23</v>
      </c>
      <c r="G35" s="5" t="n">
        <f aca="false">G31+D35-E35</f>
        <v>22</v>
      </c>
      <c r="H35" s="7" t="n">
        <f aca="false">G35-F35</f>
        <v>-1</v>
      </c>
      <c r="I35" s="8" t="n">
        <f aca="false">IF(F35=0,0,H35/F35)</f>
        <v>-0.0434782608695652</v>
      </c>
      <c r="J35" s="19" t="n">
        <v>49.4</v>
      </c>
      <c r="K35" s="19" t="n">
        <v>48.5</v>
      </c>
      <c r="L35" s="10" t="n">
        <f aca="false">K35-J35</f>
        <v>-0.899999999999999</v>
      </c>
      <c r="M35" s="8" t="n">
        <f aca="false">IF(J35=0,0,L35/J35)</f>
        <v>-0.0182186234817813</v>
      </c>
    </row>
    <row r="36" customFormat="false" ht="15" hidden="false" customHeight="false" outlineLevel="0" collapsed="false">
      <c r="A36" s="17" t="n">
        <v>45992</v>
      </c>
      <c r="B36" s="5" t="s">
        <v>13</v>
      </c>
      <c r="C36" s="16" t="n">
        <v>1</v>
      </c>
      <c r="D36" s="16" t="n">
        <v>2</v>
      </c>
      <c r="E36" s="16" t="n">
        <v>1</v>
      </c>
      <c r="F36" s="5" t="n">
        <f aca="false">F32+C36</f>
        <v>55</v>
      </c>
      <c r="G36" s="5" t="n">
        <f aca="false">G32+D36-E36</f>
        <v>53</v>
      </c>
      <c r="H36" s="7" t="n">
        <f aca="false">G36-F36</f>
        <v>-2</v>
      </c>
      <c r="I36" s="8" t="n">
        <f aca="false">IF(F36=0,0,H36/F36)</f>
        <v>-0.0363636363636364</v>
      </c>
      <c r="J36" s="19" t="n">
        <v>91</v>
      </c>
      <c r="K36" s="19" t="n">
        <v>100.1</v>
      </c>
      <c r="L36" s="10" t="n">
        <f aca="false">K36-J36</f>
        <v>9.09999999999999</v>
      </c>
      <c r="M36" s="8" t="n">
        <f aca="false">IF(J36=0,0,L36/J36)</f>
        <v>0.0999999999999999</v>
      </c>
    </row>
    <row r="37" customFormat="false" ht="15" hidden="false" customHeight="false" outlineLevel="0" collapsed="false">
      <c r="A37" s="17" t="n">
        <v>45992</v>
      </c>
      <c r="B37" s="5" t="s">
        <v>14</v>
      </c>
      <c r="C37" s="16" t="n">
        <v>1</v>
      </c>
      <c r="D37" s="16" t="n">
        <v>1</v>
      </c>
      <c r="E37" s="16" t="n">
        <v>0</v>
      </c>
      <c r="F37" s="5" t="n">
        <f aca="false">F33+C37</f>
        <v>34</v>
      </c>
      <c r="G37" s="5" t="n">
        <f aca="false">G33+D37-E37</f>
        <v>29</v>
      </c>
      <c r="H37" s="7" t="n">
        <f aca="false">G37-F37</f>
        <v>-5</v>
      </c>
      <c r="I37" s="8" t="n">
        <f aca="false">IF(F37=0,0,H37/F37)</f>
        <v>-0.147058823529412</v>
      </c>
      <c r="J37" s="19" t="n">
        <v>80</v>
      </c>
      <c r="K37" s="19" t="n">
        <v>68</v>
      </c>
      <c r="L37" s="10" t="n">
        <f aca="false">K37-J37</f>
        <v>-12</v>
      </c>
      <c r="M37" s="8" t="n">
        <f aca="false">IF(J37=0,0,L37/J37)</f>
        <v>-0.15</v>
      </c>
    </row>
    <row r="38" customFormat="false" ht="15" hidden="false" customHeight="false" outlineLevel="0" collapsed="false">
      <c r="A38" s="17" t="n">
        <v>46023</v>
      </c>
      <c r="B38" s="5" t="s">
        <v>11</v>
      </c>
      <c r="C38" s="16" t="n">
        <v>3</v>
      </c>
      <c r="D38" s="16" t="n">
        <v>3</v>
      </c>
      <c r="E38" s="16" t="n">
        <v>1</v>
      </c>
      <c r="F38" s="5" t="n">
        <f aca="false">F34+C38</f>
        <v>90</v>
      </c>
      <c r="G38" s="5" t="n">
        <f aca="false">G34+D38-E38</f>
        <v>78</v>
      </c>
      <c r="H38" s="7" t="n">
        <f aca="false">G38-F38</f>
        <v>-12</v>
      </c>
      <c r="I38" s="8" t="n">
        <f aca="false">IF(F38=0,0,H38/F38)</f>
        <v>-0.133333333333333</v>
      </c>
      <c r="J38" s="19" t="n">
        <v>228</v>
      </c>
      <c r="K38" s="19" t="n">
        <v>196.2</v>
      </c>
      <c r="L38" s="10" t="n">
        <f aca="false">K38-J38</f>
        <v>-31.8</v>
      </c>
      <c r="M38" s="8" t="n">
        <f aca="false">IF(J38=0,0,L38/J38)</f>
        <v>-0.139473684210526</v>
      </c>
    </row>
    <row r="39" customFormat="false" ht="15" hidden="false" customHeight="false" outlineLevel="0" collapsed="false">
      <c r="A39" s="17" t="n">
        <v>46023</v>
      </c>
      <c r="B39" s="5" t="s">
        <v>12</v>
      </c>
      <c r="C39" s="16" t="n">
        <v>1</v>
      </c>
      <c r="D39" s="16" t="n">
        <v>1</v>
      </c>
      <c r="E39" s="16" t="n">
        <v>0</v>
      </c>
      <c r="F39" s="5" t="n">
        <f aca="false">F35+C39</f>
        <v>24</v>
      </c>
      <c r="G39" s="5" t="n">
        <f aca="false">G35+D39-E39</f>
        <v>23</v>
      </c>
      <c r="H39" s="7" t="n">
        <f aca="false">G39-F39</f>
        <v>-1</v>
      </c>
      <c r="I39" s="8" t="n">
        <f aca="false">IF(F39=0,0,H39/F39)</f>
        <v>-0.0416666666666667</v>
      </c>
      <c r="J39" s="19" t="n">
        <v>51.2</v>
      </c>
      <c r="K39" s="19" t="n">
        <v>49.6</v>
      </c>
      <c r="L39" s="10" t="n">
        <f aca="false">K39-J39</f>
        <v>-1.6</v>
      </c>
      <c r="M39" s="8" t="n">
        <f aca="false">IF(J39=0,0,L39/J39)</f>
        <v>-0.03125</v>
      </c>
    </row>
    <row r="40" customFormat="false" ht="15" hidden="false" customHeight="false" outlineLevel="0" collapsed="false">
      <c r="A40" s="17" t="n">
        <v>46023</v>
      </c>
      <c r="B40" s="5" t="s">
        <v>13</v>
      </c>
      <c r="C40" s="16" t="n">
        <v>2</v>
      </c>
      <c r="D40" s="16" t="n">
        <v>2</v>
      </c>
      <c r="E40" s="16" t="n">
        <v>0</v>
      </c>
      <c r="F40" s="5" t="n">
        <f aca="false">F36+C40</f>
        <v>57</v>
      </c>
      <c r="G40" s="5" t="n">
        <f aca="false">G36+D40-E40</f>
        <v>55</v>
      </c>
      <c r="H40" s="7" t="n">
        <f aca="false">G40-F40</f>
        <v>-2</v>
      </c>
      <c r="I40" s="8" t="n">
        <f aca="false">IF(F40=0,0,H40/F40)</f>
        <v>-0.0350877192982456</v>
      </c>
      <c r="J40" s="19" t="n">
        <v>93.4</v>
      </c>
      <c r="K40" s="19" t="n">
        <v>104.5</v>
      </c>
      <c r="L40" s="10" t="n">
        <f aca="false">K40-J40</f>
        <v>11.1</v>
      </c>
      <c r="M40" s="8" t="n">
        <f aca="false">IF(J40=0,0,L40/J40)</f>
        <v>0.118843683083512</v>
      </c>
    </row>
    <row r="41" customFormat="false" ht="15" hidden="false" customHeight="false" outlineLevel="0" collapsed="false">
      <c r="A41" s="17" t="n">
        <v>46023</v>
      </c>
      <c r="B41" s="5" t="s">
        <v>14</v>
      </c>
      <c r="C41" s="16" t="n">
        <v>1</v>
      </c>
      <c r="D41" s="16" t="n">
        <v>0</v>
      </c>
      <c r="E41" s="16" t="n">
        <v>0</v>
      </c>
      <c r="F41" s="5" t="n">
        <f aca="false">F37+C41</f>
        <v>35</v>
      </c>
      <c r="G41" s="5" t="n">
        <f aca="false">G37+D41-E41</f>
        <v>29</v>
      </c>
      <c r="H41" s="7" t="n">
        <f aca="false">G41-F41</f>
        <v>-6</v>
      </c>
      <c r="I41" s="8" t="n">
        <f aca="false">IF(F41=0,0,H41/F41)</f>
        <v>-0.171428571428571</v>
      </c>
      <c r="J41" s="19" t="n">
        <v>82</v>
      </c>
      <c r="K41" s="19" t="n">
        <v>68.1</v>
      </c>
      <c r="L41" s="10" t="n">
        <f aca="false">K41-J41</f>
        <v>-13.9</v>
      </c>
      <c r="M41" s="8" t="n">
        <f aca="false">IF(J41=0,0,L41/J41)</f>
        <v>-0.169512195121951</v>
      </c>
    </row>
    <row r="42" customFormat="false" ht="15" hidden="false" customHeight="false" outlineLevel="0" collapsed="false">
      <c r="A42" s="17" t="n">
        <v>46054</v>
      </c>
      <c r="B42" s="5" t="s">
        <v>11</v>
      </c>
      <c r="C42" s="16" t="n">
        <v>3</v>
      </c>
      <c r="D42" s="16" t="n">
        <v>2</v>
      </c>
      <c r="E42" s="16" t="n">
        <v>0</v>
      </c>
      <c r="F42" s="5" t="n">
        <f aca="false">F38+C42</f>
        <v>93</v>
      </c>
      <c r="G42" s="5" t="n">
        <f aca="false">G38+D42-E42</f>
        <v>80</v>
      </c>
      <c r="H42" s="7" t="n">
        <f aca="false">G42-F42</f>
        <v>-13</v>
      </c>
      <c r="I42" s="8" t="n">
        <f aca="false">IF(F42=0,0,H42/F42)</f>
        <v>-0.139784946236559</v>
      </c>
      <c r="J42" s="19" t="n">
        <v>234.6</v>
      </c>
      <c r="K42" s="19" t="n">
        <v>199.4</v>
      </c>
      <c r="L42" s="10" t="n">
        <f aca="false">K42-J42</f>
        <v>-35.2</v>
      </c>
      <c r="M42" s="8" t="n">
        <f aca="false">IF(J42=0,0,L42/J42)</f>
        <v>-0.150042625745951</v>
      </c>
    </row>
    <row r="43" customFormat="false" ht="15" hidden="false" customHeight="false" outlineLevel="0" collapsed="false">
      <c r="A43" s="17" t="n">
        <v>46054</v>
      </c>
      <c r="B43" s="5" t="s">
        <v>12</v>
      </c>
      <c r="C43" s="16" t="n">
        <v>0</v>
      </c>
      <c r="D43" s="16" t="n">
        <v>0</v>
      </c>
      <c r="E43" s="16" t="n">
        <v>0</v>
      </c>
      <c r="F43" s="5" t="n">
        <f aca="false">F39+C43</f>
        <v>24</v>
      </c>
      <c r="G43" s="5" t="n">
        <f aca="false">G39+D43-E43</f>
        <v>23</v>
      </c>
      <c r="H43" s="7" t="n">
        <f aca="false">G43-F43</f>
        <v>-1</v>
      </c>
      <c r="I43" s="8" t="n">
        <f aca="false">IF(F43=0,0,H43/F43)</f>
        <v>-0.0416666666666667</v>
      </c>
      <c r="J43" s="19" t="n">
        <v>51.2</v>
      </c>
      <c r="K43" s="19" t="n">
        <v>48.5</v>
      </c>
      <c r="L43" s="10" t="n">
        <f aca="false">K43-J43</f>
        <v>-2.7</v>
      </c>
      <c r="M43" s="8" t="n">
        <f aca="false">IF(J43=0,0,L43/J43)</f>
        <v>-0.0527343750000001</v>
      </c>
    </row>
    <row r="44" customFormat="false" ht="15" hidden="false" customHeight="false" outlineLevel="0" collapsed="false">
      <c r="A44" s="17" t="n">
        <v>46054</v>
      </c>
      <c r="B44" s="5" t="s">
        <v>13</v>
      </c>
      <c r="C44" s="16" t="n">
        <v>2</v>
      </c>
      <c r="D44" s="16" t="n">
        <v>3</v>
      </c>
      <c r="E44" s="16" t="n">
        <v>1</v>
      </c>
      <c r="F44" s="5" t="n">
        <f aca="false">F40+C44</f>
        <v>59</v>
      </c>
      <c r="G44" s="5" t="n">
        <f aca="false">G40+D44-E44</f>
        <v>57</v>
      </c>
      <c r="H44" s="7" t="n">
        <f aca="false">G44-F44</f>
        <v>-2</v>
      </c>
      <c r="I44" s="8" t="n">
        <f aca="false">IF(F44=0,0,H44/F44)</f>
        <v>-0.0338983050847458</v>
      </c>
      <c r="J44" s="19" t="n">
        <v>95.8</v>
      </c>
      <c r="K44" s="19" t="n">
        <v>104.8</v>
      </c>
      <c r="L44" s="10" t="n">
        <f aca="false">K44-J44</f>
        <v>9</v>
      </c>
      <c r="M44" s="8" t="n">
        <f aca="false">IF(J44=0,0,L44/J44)</f>
        <v>0.0939457202505219</v>
      </c>
    </row>
    <row r="45" customFormat="false" ht="15" hidden="false" customHeight="false" outlineLevel="0" collapsed="false">
      <c r="A45" s="17" t="n">
        <v>46054</v>
      </c>
      <c r="B45" s="5" t="s">
        <v>14</v>
      </c>
      <c r="C45" s="16" t="n">
        <v>1</v>
      </c>
      <c r="D45" s="16" t="n">
        <v>1</v>
      </c>
      <c r="E45" s="16" t="n">
        <v>0</v>
      </c>
      <c r="F45" s="5" t="n">
        <f aca="false">F41+C45</f>
        <v>36</v>
      </c>
      <c r="G45" s="5" t="n">
        <f aca="false">G41+D45-E45</f>
        <v>30</v>
      </c>
      <c r="H45" s="7" t="n">
        <f aca="false">G45-F45</f>
        <v>-6</v>
      </c>
      <c r="I45" s="8" t="n">
        <f aca="false">IF(F45=0,0,H45/F45)</f>
        <v>-0.166666666666667</v>
      </c>
      <c r="J45" s="19" t="n">
        <v>84</v>
      </c>
      <c r="K45" s="19" t="n">
        <v>69.2</v>
      </c>
      <c r="L45" s="10" t="n">
        <f aca="false">K45-J45</f>
        <v>-14.8</v>
      </c>
      <c r="M45" s="8" t="n">
        <f aca="false">IF(J45=0,0,L45/J45)</f>
        <v>-0.176190476190476</v>
      </c>
    </row>
    <row r="46" customFormat="false" ht="15" hidden="false" customHeight="false" outlineLevel="0" collapsed="false">
      <c r="A46" s="17" t="n">
        <v>46082</v>
      </c>
      <c r="B46" s="5" t="s">
        <v>11</v>
      </c>
      <c r="C46" s="16" t="n">
        <v>3</v>
      </c>
      <c r="D46" s="16" t="n">
        <v>3</v>
      </c>
      <c r="E46" s="16" t="n">
        <v>1</v>
      </c>
      <c r="F46" s="5" t="n">
        <f aca="false">F42+C46</f>
        <v>96</v>
      </c>
      <c r="G46" s="5" t="n">
        <f aca="false">G42+D46-E46</f>
        <v>82</v>
      </c>
      <c r="H46" s="7" t="n">
        <f aca="false">G46-F46</f>
        <v>-14</v>
      </c>
      <c r="I46" s="8" t="n">
        <f aca="false">IF(F46=0,0,H46/F46)</f>
        <v>-0.145833333333333</v>
      </c>
      <c r="J46" s="19" t="n">
        <v>241.2</v>
      </c>
      <c r="K46" s="19" t="n">
        <v>198.4</v>
      </c>
      <c r="L46" s="10" t="n">
        <f aca="false">K46-J46</f>
        <v>-42.8</v>
      </c>
      <c r="M46" s="8" t="n">
        <f aca="false">IF(J46=0,0,L46/J46)</f>
        <v>-0.177446102819237</v>
      </c>
    </row>
    <row r="47" customFormat="false" ht="15" hidden="false" customHeight="false" outlineLevel="0" collapsed="false">
      <c r="A47" s="17" t="n">
        <v>46082</v>
      </c>
      <c r="B47" s="5" t="s">
        <v>12</v>
      </c>
      <c r="C47" s="16" t="n">
        <v>0</v>
      </c>
      <c r="D47" s="16" t="n">
        <v>0</v>
      </c>
      <c r="E47" s="16" t="n">
        <v>0</v>
      </c>
      <c r="F47" s="5" t="n">
        <f aca="false">F43+C47</f>
        <v>24</v>
      </c>
      <c r="G47" s="5" t="n">
        <f aca="false">G43+D47-E47</f>
        <v>23</v>
      </c>
      <c r="H47" s="7" t="n">
        <f aca="false">G47-F47</f>
        <v>-1</v>
      </c>
      <c r="I47" s="8" t="n">
        <f aca="false">IF(F47=0,0,H47/F47)</f>
        <v>-0.0416666666666667</v>
      </c>
      <c r="J47" s="19" t="n">
        <v>51.2</v>
      </c>
      <c r="K47" s="19" t="n">
        <v>48.9</v>
      </c>
      <c r="L47" s="10" t="n">
        <f aca="false">K47-J47</f>
        <v>-2.3</v>
      </c>
      <c r="M47" s="8" t="n">
        <f aca="false">IF(J47=0,0,L47/J47)</f>
        <v>-0.0449218750000001</v>
      </c>
    </row>
    <row r="48" customFormat="false" ht="15" hidden="false" customHeight="false" outlineLevel="0" collapsed="false">
      <c r="A48" s="17" t="n">
        <v>46082</v>
      </c>
      <c r="B48" s="5" t="s">
        <v>13</v>
      </c>
      <c r="C48" s="16" t="n">
        <v>1</v>
      </c>
      <c r="D48" s="16" t="n">
        <v>2</v>
      </c>
      <c r="E48" s="16" t="n">
        <v>1</v>
      </c>
      <c r="F48" s="5" t="n">
        <f aca="false">F44+C48</f>
        <v>60</v>
      </c>
      <c r="G48" s="5" t="n">
        <f aca="false">G44+D48-E48</f>
        <v>58</v>
      </c>
      <c r="H48" s="7" t="n">
        <f aca="false">G48-F48</f>
        <v>-2</v>
      </c>
      <c r="I48" s="8" t="n">
        <f aca="false">IF(F48=0,0,H48/F48)</f>
        <v>-0.0333333333333333</v>
      </c>
      <c r="J48" s="19" t="n">
        <v>97</v>
      </c>
      <c r="K48" s="19" t="n">
        <v>105.6</v>
      </c>
      <c r="L48" s="10" t="n">
        <f aca="false">K48-J48</f>
        <v>8.59999999999999</v>
      </c>
      <c r="M48" s="8" t="n">
        <f aca="false">IF(J48=0,0,L48/J48)</f>
        <v>0.0886597938144329</v>
      </c>
    </row>
    <row r="49" customFormat="false" ht="15" hidden="false" customHeight="false" outlineLevel="0" collapsed="false">
      <c r="A49" s="17" t="n">
        <v>46082</v>
      </c>
      <c r="B49" s="5" t="s">
        <v>14</v>
      </c>
      <c r="C49" s="16" t="n">
        <v>1</v>
      </c>
      <c r="D49" s="16" t="n">
        <v>1</v>
      </c>
      <c r="E49" s="16" t="n">
        <v>1</v>
      </c>
      <c r="F49" s="5" t="n">
        <f aca="false">F45+C49</f>
        <v>37</v>
      </c>
      <c r="G49" s="5" t="n">
        <f aca="false">G45+D49-E49</f>
        <v>30</v>
      </c>
      <c r="H49" s="7" t="n">
        <f aca="false">G49-F49</f>
        <v>-7</v>
      </c>
      <c r="I49" s="8" t="n">
        <f aca="false">IF(F49=0,0,H49/F49)</f>
        <v>-0.189189189189189</v>
      </c>
      <c r="J49" s="19" t="n">
        <v>86</v>
      </c>
      <c r="K49" s="19" t="n">
        <v>69.2</v>
      </c>
      <c r="L49" s="10" t="n">
        <f aca="false">K49-J49</f>
        <v>-16.8</v>
      </c>
      <c r="M49" s="8" t="n">
        <f aca="false">IF(J49=0,0,L49/J49)</f>
        <v>-0.195348837209302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2026-10-10T19:27:04Z</dcterms:created>
  <dc:creator>openpyxl</dc:creator>
  <dc:description/>
  <dc:language>en-US</dc:language>
  <cp:lastModifiedBy/>
  <dcterms:modified xsi:type="dcterms:W3CDTF">2026-10-10T19:27:04Z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